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Dunto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Tony Koop</author>
  </authors>
  <commentList>
    <comment ref="A46" authorId="0" shapeId="0">
      <text>
        <t>Tony Koop:
U-slit per tongue = (1 bottom + 2 sides) × slit_width × respective lengths</t>
      </text>
    </comment>
    <comment ref="B46" authorId="0" shapeId="0">
      <text>
        <t>Each tongue: U-slit = bottom_slit (slit_W × tongue_W) + 2 side_slits (slit_W × ~3" avg length). Side slit length depends on tongue length — using 3" estimate for Medium. Adjust after tongue schedule is built.</t>
      </text>
    </comment>
    <comment ref="B85" authorId="0" shapeId="0">
      <text>
        <t>Tony Koop:
Starts oversized; turn to final wall thickness on lathe</t>
      </text>
    </comment>
    <comment ref="F89" authorId="0" shapeId="0">
      <text>
        <t>Tony Koop:
L = √(K × t / f) — cantilever beam</t>
      </text>
    </comment>
    <comment ref="I89" authorId="0" shapeId="0">
      <text>
        <t>Tony Koop:
Arc angle the tongue subtends on cylinder surface</t>
      </text>
    </comment>
    <comment ref="F90" authorId="0" shapeId="0">
      <text>
        <t>Tony Koop:
L = √(K × t / f) — cantilever beam</t>
      </text>
    </comment>
    <comment ref="I90" authorId="0" shapeId="0">
      <text>
        <t>Tony Koop:
Arc angle the tongue subtends on cylinder surface</t>
      </text>
    </comment>
    <comment ref="F91" authorId="0" shapeId="0">
      <text>
        <t>Tony Koop:
L = √(K × t / f) — cantilever beam</t>
      </text>
    </comment>
    <comment ref="I91" authorId="0" shapeId="0">
      <text>
        <t>Tony Koop:
Arc angle the tongue subtends on cylinder surface</t>
      </text>
    </comment>
    <comment ref="F92" authorId="0" shapeId="0">
      <text>
        <t>Tony Koop:
L = √(K × t / f) — cantilever beam</t>
      </text>
    </comment>
    <comment ref="I92" authorId="0" shapeId="0">
      <text>
        <t>Tony Koop:
Arc angle the tongue subtends on cylinder surface</t>
      </text>
    </comment>
    <comment ref="F93" authorId="0" shapeId="0">
      <text>
        <t>Tony Koop:
L = √(K × t / f) — cantilever beam</t>
      </text>
    </comment>
    <comment ref="I93" authorId="0" shapeId="0">
      <text>
        <t>Tony Koop:
Arc angle the tongue subtends on cylinder surface</t>
      </text>
    </comment>
    <comment ref="F94" authorId="0" shapeId="0">
      <text>
        <t>Tony Koop:
L = √(K × t / f) — cantilever beam</t>
      </text>
    </comment>
    <comment ref="I94" authorId="0" shapeId="0">
      <text>
        <t>Tony Koop:
Arc angle the tongue subtends on cylinder surface</t>
      </text>
    </comment>
    <comment ref="F95" authorId="0" shapeId="0">
      <text>
        <t>Tony Koop:
L = √(K × t / f) — cantilever beam</t>
      </text>
    </comment>
    <comment ref="I95" authorId="0" shapeId="0">
      <text>
        <t>Tony Koop:
Arc angle the tongue subtends on cylinder surface</t>
      </text>
    </comment>
    <comment ref="F96" authorId="0" shapeId="0">
      <text>
        <t>Tony Koop:
L = √(K × t / f) — cantilever beam</t>
      </text>
    </comment>
    <comment ref="I96" authorId="0" shapeId="0">
      <text>
        <t>Tony Koop:
Arc angle the tongue subtends on cylinder surface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3" topLeftCell="A4" activePane="bottomLeft" state="frozen"/>
      <selection pane="bottomLeft" activeCell="D2" sqref="D2"/>
    </sheetView>
  </sheetViews>
  <sheetFormatPr baseColWidth="8" defaultRowHeight="12.75"/>
  <cols>
    <col width="137.140625" customWidth="1" style="817" min="1" max="1"/>
    <col width="53.28515625" customWidth="1" style="817" min="2" max="3"/>
    <col width="34.28515625" customWidth="1" style="817" min="4" max="4"/>
    <col width="61" customWidth="1" style="817" min="5" max="5"/>
    <col width="19" customWidth="1" style="817" min="6" max="8"/>
    <col width="15.28515625" customWidth="1" style="817" min="9" max="10"/>
  </cols>
  <sheetData>
    <row r="1" ht="18" customHeight="1" s="817">
      <c r="A1" s="470" t="inlineStr">
        <is>
          <t>Duntong — Cylindrical Tongue Drum (Original Design)</t>
        </is>
      </c>
      <c r="D1" s="766" t="n">
        <v>46143</v>
      </c>
    </row>
    <row r="2">
      <c r="A2" s="734" t="inlineStr">
        <is>
          <t>Cantilever tongues around a cylinder body · Sealed / Ported / Drum-headed end options · Segmented / Stave / Split-blank construction</t>
        </is>
      </c>
    </row>
    <row r="3">
      <c r="A3" s="762" t="inlineStr">
        <is>
          <t>Inventor: Tony Koop, 2026 · Physics: cantilever beam f = K × t / L² + Helmholtz resonator coupling</t>
        </is>
      </c>
    </row>
    <row r="5" ht="15" customHeight="1" s="817">
      <c r="A5" s="735" t="inlineStr">
        <is>
          <t>DESIGN INPUTS</t>
        </is>
      </c>
      <c r="B5" s="736" t="n"/>
      <c r="C5" s="736" t="n"/>
      <c r="D5" s="736" t="n"/>
      <c r="E5" s="736" t="n"/>
    </row>
    <row r="6">
      <c r="A6" s="472" t="inlineStr">
        <is>
          <t>Size Variant</t>
        </is>
      </c>
      <c r="B6" s="475" t="inlineStr">
        <is>
          <t>Handheld</t>
        </is>
      </c>
      <c r="C6" s="475" t="inlineStr">
        <is>
          <t>Medium</t>
        </is>
      </c>
      <c r="D6" t="inlineStr">
        <is>
          <t>Notes</t>
        </is>
      </c>
    </row>
    <row r="7">
      <c r="A7" t="inlineStr">
        <is>
          <t>Cylinder Outer Ø (in)</t>
        </is>
      </c>
      <c r="B7" s="565" t="n">
        <v>6</v>
      </c>
      <c r="C7" s="565" t="n">
        <v>12</v>
      </c>
      <c r="D7" t="inlineStr">
        <is>
          <t>Handheld fits in lap; Medium sits on floor/table</t>
        </is>
      </c>
    </row>
    <row r="8">
      <c r="A8" t="inlineStr">
        <is>
          <t>Cylinder Length (in)</t>
        </is>
      </c>
      <c r="B8" s="565" t="n">
        <v>9</v>
      </c>
      <c r="C8" s="565" t="n">
        <v>16</v>
      </c>
      <c r="D8" t="inlineStr">
        <is>
          <t>Overall length including end caps</t>
        </is>
      </c>
    </row>
    <row r="9">
      <c r="A9" t="inlineStr">
        <is>
          <t>Wall Thickness (in)</t>
        </is>
      </c>
      <c r="B9" s="596" t="n">
        <v>0.375</v>
      </c>
      <c r="C9" s="596" t="n">
        <v>0.5</v>
      </c>
      <c r="D9" t="inlineStr">
        <is>
          <t>← This IS the tongue thickness (t in f = K×t/L²)</t>
        </is>
      </c>
    </row>
    <row r="10">
      <c r="A10" t="inlineStr">
        <is>
          <t>Tongue Width (in)</t>
        </is>
      </c>
      <c r="B10" s="565" t="n">
        <v>1</v>
      </c>
      <c r="C10" s="565" t="n">
        <v>1.5</v>
      </c>
      <c r="D10" t="inlineStr">
        <is>
          <t>Width affects volume + sustain, NOT pitch</t>
        </is>
      </c>
    </row>
    <row r="11">
      <c r="A11" t="inlineStr">
        <is>
          <t>Slit Width (in)</t>
        </is>
      </c>
      <c r="B11" s="596" t="n">
        <v>0.125</v>
      </c>
      <c r="C11" s="596" t="n">
        <v>0.125</v>
      </c>
      <c r="D11" t="inlineStr">
        <is>
          <t>1/8" kerf from upcut spiral bit</t>
        </is>
      </c>
    </row>
    <row r="12">
      <c r="A12" t="inlineStr">
        <is>
          <t>Wood Species</t>
        </is>
      </c>
      <c r="B12" s="564" t="inlineStr">
        <is>
          <t>Padauk</t>
        </is>
      </c>
      <c r="C12" s="564" t="inlineStr">
        <is>
          <t>Padauk</t>
        </is>
      </c>
      <c r="D12" t="inlineStr">
        <is>
          <t>K = 24,438 (cantilever). See material table below.</t>
        </is>
      </c>
    </row>
    <row r="13">
      <c r="A13" t="inlineStr">
        <is>
          <t>K (cantilever, imperial)</t>
        </is>
      </c>
      <c r="B13" s="679" t="n">
        <v>24438</v>
      </c>
      <c r="C13" s="679" t="n">
        <v>24438</v>
      </c>
      <c r="D13" t="inlineStr">
        <is>
          <t>From Tongue Drum material library</t>
        </is>
      </c>
    </row>
    <row r="14">
      <c r="A14" t="inlineStr">
        <is>
          <t>Scale</t>
        </is>
      </c>
      <c r="B14" s="564" t="inlineStr">
        <is>
          <t>Pentatonic Minor</t>
        </is>
      </c>
      <c r="C14" s="564" t="inlineStr">
        <is>
          <t>Pentatonic Minor</t>
        </is>
      </c>
      <c r="D14" t="inlineStr">
        <is>
          <t>8 notes: root + offsets (+3,+5,+7,+8,+10,+12,+15)</t>
        </is>
      </c>
    </row>
    <row r="15">
      <c r="A15" t="inlineStr">
        <is>
          <t>Root Note (MIDI)</t>
        </is>
      </c>
      <c r="B15" s="564" t="n">
        <v>72</v>
      </c>
      <c r="C15" s="564" t="n">
        <v>60</v>
      </c>
      <c r="D15" t="inlineStr">
        <is>
          <t>72 = C5 (handheld); 60 = C4 (medium)</t>
        </is>
      </c>
    </row>
    <row r="16">
      <c r="A16" t="inlineStr">
        <is>
          <t>Number of Tongues</t>
        </is>
      </c>
      <c r="B16" s="564" t="n">
        <v>8</v>
      </c>
      <c r="C16" s="564" t="n">
        <v>8</v>
      </c>
      <c r="D16" t="inlineStr">
        <is>
          <t>8 tongues = pentatonic + octave. Max limited by circumference.</t>
        </is>
      </c>
    </row>
    <row r="17">
      <c r="A17" t="inlineStr">
        <is>
          <t>Speed of Sound (in/s)</t>
        </is>
      </c>
      <c r="B17" s="679" t="n">
        <v>13552</v>
      </c>
      <c r="C17" s="679" t="n">
        <v>13552</v>
      </c>
      <c r="D17" t="inlineStr">
        <is>
          <t>At 68°F</t>
        </is>
      </c>
    </row>
    <row r="19">
      <c r="A19" s="472" t="inlineStr">
        <is>
          <t>END CONFIGURATION</t>
        </is>
      </c>
      <c r="B19" s="475" t="inlineStr">
        <is>
          <t>End A (Left)</t>
        </is>
      </c>
      <c r="C19" s="475" t="inlineStr">
        <is>
          <t>End B (Right)</t>
        </is>
      </c>
    </row>
    <row r="20">
      <c r="A20" t="inlineStr">
        <is>
          <t>Config Option</t>
        </is>
      </c>
      <c r="B20" s="564" t="inlineStr">
        <is>
          <t>Solid wood</t>
        </is>
      </c>
      <c r="C20" s="564" t="inlineStr">
        <is>
          <t>Solid wood</t>
        </is>
      </c>
      <c r="D20" t="inlineStr">
        <is>
          <t>Options: "Solid wood" / "Acoustic port" / "Goatskin" / "Synthetic head"</t>
        </is>
      </c>
    </row>
    <row r="21">
      <c r="A21" t="inlineStr">
        <is>
          <t>Port Ø (if ported, in)</t>
        </is>
      </c>
      <c r="B21" s="565" t="n">
        <v>2</v>
      </c>
      <c r="C21" s="565" t="n">
        <v>3</v>
      </c>
      <c r="D21" t="inlineStr">
        <is>
          <t>Only applies if "Acoustic port" selected above</t>
        </is>
      </c>
    </row>
    <row r="23" ht="15" customHeight="1" s="817">
      <c r="A23" s="743" t="inlineStr">
        <is>
          <t>TONGUE PHYSICS — Cantilever Beam on Cylinder Wall</t>
        </is>
      </c>
      <c r="B23" s="744" t="n"/>
      <c r="C23" s="744" t="n"/>
      <c r="D23" s="744" t="n"/>
      <c r="E23" s="744" t="n"/>
    </row>
    <row r="24">
      <c r="A24" s="734" t="inlineStr">
        <is>
          <t>f = K × t / L² — same cantilever formula as flat tongue drum. Curvature negligible when tongue_width &lt;&lt; cylinder_Ø.</t>
        </is>
      </c>
    </row>
    <row r="25">
      <c r="A25" s="734" t="inlineStr">
        <is>
          <t>Curvature adds slight stiffening (~2-5% higher pitch vs flat). Empirical correction needed from prototype testing.</t>
        </is>
      </c>
    </row>
    <row r="27">
      <c r="A27" s="472" t="n"/>
      <c r="B27" s="475" t="inlineStr">
        <is>
          <t>Handheld</t>
        </is>
      </c>
      <c r="C27" s="475" t="inlineStr">
        <is>
          <t>Medium</t>
        </is>
      </c>
      <c r="D27" t="inlineStr">
        <is>
          <t>Formula / Notes</t>
        </is>
      </c>
    </row>
    <row r="28">
      <c r="A28" t="inlineStr">
        <is>
          <t>Cylinder Inner Ø (in)</t>
        </is>
      </c>
      <c r="B28" s="482">
        <f>B7-2*B9</f>
        <v/>
      </c>
      <c r="C28" s="482">
        <f>C7-2*C9</f>
        <v/>
      </c>
      <c r="D28" s="759" t="inlineStr">
        <is>
          <t>= outer_Ø − 2 × wall</t>
        </is>
      </c>
    </row>
    <row r="29">
      <c r="A29" t="inlineStr">
        <is>
          <t>Internal Volume (in³)</t>
        </is>
      </c>
      <c r="B29" s="481">
        <f>PI()*(B28/2)^2*B8</f>
        <v/>
      </c>
      <c r="C29" s="481">
        <f>PI()*(C28/2)^2*C8</f>
        <v/>
      </c>
      <c r="D29" s="759" t="inlineStr">
        <is>
          <t>= π × (ID/2)² × length</t>
        </is>
      </c>
    </row>
    <row r="30">
      <c r="A30" t="inlineStr">
        <is>
          <t>Circumference (in)</t>
        </is>
      </c>
      <c r="B30" s="481">
        <f>PI()*B7</f>
        <v/>
      </c>
      <c r="C30" s="481">
        <f>PI()*C7</f>
        <v/>
      </c>
      <c r="D30" s="759" t="inlineStr">
        <is>
          <t>= π × Ø (outer)</t>
        </is>
      </c>
    </row>
    <row r="31">
      <c r="A31" t="inlineStr">
        <is>
          <t>Max Tongues (fit check)</t>
        </is>
      </c>
      <c r="B31" s="540">
        <f>FLOOR(B30/(B10+B11),1)</f>
        <v/>
      </c>
      <c r="C31" s="540">
        <f>FLOOR(C30/(C10+C11),1)</f>
        <v/>
      </c>
      <c r="D31" s="759" t="inlineStr">
        <is>
          <t>= circumference / (tongue_width + slit_width). Practical max.</t>
        </is>
      </c>
    </row>
    <row r="32">
      <c r="A32" t="inlineStr">
        <is>
          <t>Fit OK?</t>
        </is>
      </c>
      <c r="B32">
        <f>IF(B16&lt;=B31,"✓ Fits","⚠️ Too many tongues!")</f>
        <v/>
      </c>
      <c r="C32">
        <f>IF(C16&lt;=C31,"✓ Fits","⚠️ Too many tongues!")</f>
        <v/>
      </c>
      <c r="D32" t="inlineStr">
        <is>
          <t>Requested tongues ≤ max available slots</t>
        </is>
      </c>
    </row>
    <row r="33">
      <c r="A33" t="inlineStr">
        <is>
          <t>Arc per Tongue (°)</t>
        </is>
      </c>
      <c r="B33" s="481">
        <f>360/B16</f>
        <v/>
      </c>
      <c r="C33" s="481">
        <f>360/C16</f>
        <v/>
      </c>
      <c r="D33" s="759" t="inlineStr">
        <is>
          <t>= 360 / num_tongues</t>
        </is>
      </c>
    </row>
    <row r="34">
      <c r="A34" t="inlineStr">
        <is>
          <t>Curvature Ratio (tongue_W / Ø)</t>
        </is>
      </c>
      <c r="B34" s="702">
        <f>B10/B7</f>
        <v/>
      </c>
      <c r="C34" s="702">
        <f>C10/C7</f>
        <v/>
      </c>
      <c r="D34" t="inlineStr">
        <is>
          <t>≤ 20% → curvature effect negligible; &gt; 20% → need empirical correction</t>
        </is>
      </c>
    </row>
    <row r="35">
      <c r="A35" t="inlineStr">
        <is>
          <t>Curvature Note</t>
        </is>
      </c>
      <c r="B35">
        <f>IF(B34&lt;=0.2,"✓ Flat approx OK","⚠️ Significant curvature")</f>
        <v/>
      </c>
      <c r="C35">
        <f>IF(C34&lt;=0.2,"✓ Flat approx OK","⚠️ Significant curvature")</f>
        <v/>
      </c>
      <c r="D35" t="inlineStr">
        <is>
          <t>If &gt;20%, tongues may ring ~2-5% sharp vs flat-surface prediction</t>
        </is>
      </c>
    </row>
    <row r="37" ht="15" customHeight="1" s="817">
      <c r="A37" s="738" t="inlineStr">
        <is>
          <t>CYLINDER RESONANCE — 4 End Configurations</t>
        </is>
      </c>
      <c r="B37" s="739" t="n"/>
      <c r="C37" s="739" t="n"/>
      <c r="D37" s="739" t="n"/>
      <c r="E37" s="739" t="n"/>
    </row>
    <row r="38">
      <c r="A38" s="475" t="inlineStr">
        <is>
          <t>Config</t>
        </is>
      </c>
      <c r="B38" s="475" t="inlineStr">
        <is>
          <t>Model</t>
        </is>
      </c>
      <c r="C38" s="475" t="inlineStr">
        <is>
          <t>Resonant Freq (Hz)</t>
        </is>
      </c>
      <c r="D38" s="475" t="inlineStr">
        <is>
          <t>Character</t>
        </is>
      </c>
      <c r="E38" s="475" t="inlineStr">
        <is>
          <t>Best For</t>
        </is>
      </c>
    </row>
    <row r="39">
      <c r="A39" t="inlineStr">
        <is>
          <t>A. Both ends solid</t>
        </is>
      </c>
      <c r="B39" t="inlineStr">
        <is>
          <t>Helmholtz — tongue slits = neck opening</t>
        </is>
      </c>
      <c r="D39" t="inlineStr">
        <is>
          <t>Warm, focused, sustaining — resonance reinforces tongues</t>
        </is>
      </c>
      <c r="E39" t="inlineStr">
        <is>
          <t>Melodic tongue playing, meditation, ensemble</t>
        </is>
      </c>
    </row>
    <row r="40">
      <c r="A40" t="inlineStr">
        <is>
          <t>B. One port + one solid</t>
        </is>
      </c>
      <c r="B40" t="inlineStr">
        <is>
          <t>Stopped pipe: f = c/(4×L)</t>
        </is>
      </c>
      <c r="D40" t="inlineStr">
        <is>
          <t>Deep bass projection from port; tongues add melody on top</t>
        </is>
      </c>
      <c r="E40" t="inlineStr">
        <is>
          <t>Bass-heavy, rhythmic, outdoor</t>
        </is>
      </c>
    </row>
    <row r="41">
      <c r="A41" t="inlineStr">
        <is>
          <t>C. Two ports (both open)</t>
        </is>
      </c>
      <c r="B41" t="inlineStr">
        <is>
          <t>Open pipe: f = c/(2×L)</t>
        </is>
      </c>
      <c r="D41" t="inlineStr">
        <is>
          <t>Brightest body resonance; less bass than B</t>
        </is>
      </c>
      <c r="E41" t="inlineStr">
        <is>
          <t>Bright acoustic projection</t>
        </is>
      </c>
    </row>
    <row r="42">
      <c r="A42" t="inlineStr">
        <is>
          <t>D. One/both drumheads</t>
        </is>
      </c>
      <c r="B42" t="inlineStr">
        <is>
          <t>Membrane + cantilever hybrid</t>
        </is>
      </c>
      <c r="D42" t="inlineStr">
        <is>
          <t>Percussive attack from head + pitched tongues — true hybrid drum</t>
        </is>
      </c>
      <c r="E42" t="inlineStr">
        <is>
          <t>Rhythm + melody; closest to dundun concept</t>
        </is>
      </c>
    </row>
    <row r="44">
      <c r="A44" s="763" t="inlineStr">
        <is>
          <t>Resonance Calculations (Medium size shown)</t>
        </is>
      </c>
    </row>
    <row r="45">
      <c r="A45" t="inlineStr">
        <is>
          <t>Config A — Helmholtz (sealed)</t>
        </is>
      </c>
    </row>
    <row r="46">
      <c r="A46" t="inlineStr">
        <is>
          <t xml:space="preserve">  Total slit area (in²)</t>
        </is>
      </c>
      <c r="B46" s="469">
        <f>C16*(C11*C10+2*C11*3)</f>
        <v/>
      </c>
    </row>
    <row r="47">
      <c r="A47" t="inlineStr">
        <is>
          <t xml:space="preserve">  Effective neck length (in)</t>
        </is>
      </c>
      <c r="B47" s="482">
        <f>C9</f>
        <v/>
      </c>
      <c r="D47" s="759" t="inlineStr">
        <is>
          <t>= wall thickness (sound passes through wall at slit)</t>
        </is>
      </c>
    </row>
    <row r="48">
      <c r="A48" t="inlineStr">
        <is>
          <t xml:space="preserve">  Helmholtz freq (Hz)</t>
        </is>
      </c>
      <c r="B48" s="707">
        <f>C17/(2*PI())*SQRT(B46/(C29*B47))</f>
        <v/>
      </c>
      <c r="D48" t="inlineStr">
        <is>
          <t>f = (c/2π) × √(A_slit / (V_chamber × L_neck))</t>
        </is>
      </c>
    </row>
    <row r="49">
      <c r="A49" t="inlineStr">
        <is>
          <t xml:space="preserve">  Coupling range (±20%)</t>
        </is>
      </c>
      <c r="B49" s="481">
        <f>B48*0.8</f>
        <v/>
      </c>
      <c r="C49" s="481">
        <f>B48*1.2</f>
        <v/>
      </c>
      <c r="D49" t="inlineStr">
        <is>
          <t>Tongues within this freq range will couple strongly with body</t>
        </is>
      </c>
    </row>
    <row r="51">
      <c r="A51" t="inlineStr">
        <is>
          <t>Config B — Stopped Pipe (one port)</t>
        </is>
      </c>
    </row>
    <row r="52">
      <c r="A52" t="inlineStr">
        <is>
          <t xml:space="preserve">  Pipe resonance (Hz)</t>
        </is>
      </c>
      <c r="B52" s="707">
        <f>C17/(4*C8)</f>
        <v/>
      </c>
      <c r="D52" t="inlineStr">
        <is>
          <t>f = c / (4 × L). Deep fundamental.</t>
        </is>
      </c>
    </row>
    <row r="53">
      <c r="A53" t="inlineStr">
        <is>
          <t xml:space="preserve">  2nd harmonic (Hz)</t>
        </is>
      </c>
      <c r="B53" s="481">
        <f>B52*3</f>
        <v/>
      </c>
      <c r="D53" t="inlineStr">
        <is>
          <t>Odd harmonics only (3×, 5×) — hollow character</t>
        </is>
      </c>
    </row>
    <row r="55">
      <c r="A55" t="inlineStr">
        <is>
          <t>Config C — Open Pipe (two ports)</t>
        </is>
      </c>
    </row>
    <row r="56">
      <c r="A56" t="inlineStr">
        <is>
          <t xml:space="preserve">  Pipe resonance (Hz)</t>
        </is>
      </c>
      <c r="B56" s="707">
        <f>C17/(2*C8)</f>
        <v/>
      </c>
      <c r="D56" t="inlineStr">
        <is>
          <t>f = c / (2 × L). One octave above stopped.</t>
        </is>
      </c>
    </row>
    <row r="57">
      <c r="A57" t="inlineStr">
        <is>
          <t xml:space="preserve">  2nd harmonic (Hz)</t>
        </is>
      </c>
      <c r="B57" s="481">
        <f>B56*2</f>
        <v/>
      </c>
      <c r="D57" t="inlineStr">
        <is>
          <t>All harmonics present (2×, 3×, 4×) — brighter</t>
        </is>
      </c>
    </row>
    <row r="59" ht="15" customHeight="1" s="817">
      <c r="A59" s="747" t="inlineStr">
        <is>
          <t>TONGUE LAYOUT OPTIONS</t>
        </is>
      </c>
      <c r="B59" s="748" t="n"/>
      <c r="C59" s="748" t="n"/>
      <c r="D59" s="748" t="n"/>
      <c r="E59" s="748" t="n"/>
    </row>
    <row r="60">
      <c r="A60" s="475" t="inlineStr">
        <is>
          <t>Layout</t>
        </is>
      </c>
      <c r="B60" s="475" t="inlineStr">
        <is>
          <t>Description</t>
        </is>
      </c>
      <c r="C60" s="475" t="inlineStr">
        <is>
          <t>Pros</t>
        </is>
      </c>
      <c r="D60" s="475" t="inlineStr">
        <is>
          <t>Cons</t>
        </is>
      </c>
      <c r="E60" s="475" t="inlineStr">
        <is>
          <t>CNC Notes</t>
        </is>
      </c>
    </row>
    <row r="61">
      <c r="A61" t="inlineStr">
        <is>
          <t>1. Single Ring</t>
        </is>
      </c>
      <c r="B61" t="inlineStr">
        <is>
          <t>All tongues in one row around the equator (midpoint of cylinder). Scale arranged L→R or alternating (like standard tongue drum).</t>
        </is>
      </c>
      <c r="C61" t="inlineStr">
        <is>
          <t>Simplest to CNC (single Z-height). Easy to play flat or tilted. Natural hand position.</t>
        </is>
      </c>
      <c r="D61" t="inlineStr">
        <is>
          <t>Limited to notes that fit in circumference. All tongues same thickness.</t>
        </is>
      </c>
      <c r="E61" t="inlineStr">
        <is>
          <t>Single wrap-around toolpath. Index cylinder on rotary axis or use V-block jig + rotate.</t>
        </is>
      </c>
    </row>
    <row r="62">
      <c r="A62" t="inlineStr">
        <is>
          <t>2. Spiral</t>
        </is>
      </c>
      <c r="B62" t="inlineStr">
        <is>
          <t>Tongues wrap helically up the cylinder. Scale ascends as you rotate — like a spiral staircase of pitches.</t>
        </is>
      </c>
      <c r="C62" t="inlineStr">
        <is>
          <t>More tongues fit (uses full cylinder length). Visual showpiece. Scale flows naturally.</t>
        </is>
      </c>
      <c r="D62" t="inlineStr">
        <is>
          <t>Harder to CNC (compound toolpath). Playing position less intuitive.</t>
        </is>
      </c>
      <c r="E62" t="inlineStr">
        <is>
          <t>Needs 4th-axis rotary OR flatten-and-mark approach. SolidWorks unwrap for layout.</t>
        </is>
      </c>
    </row>
    <row r="63">
      <c r="A63" t="inlineStr">
        <is>
          <t>3. Multi-Band</t>
        </is>
      </c>
      <c r="B63" t="inlineStr">
        <is>
          <t>2-3 parallel rows of tongues at different heights. Each band could be a different octave or scale mode.</t>
        </is>
      </c>
      <c r="C63" t="inlineStr">
        <is>
          <t>Most notes possible. Can separate registers (bass ring, treble ring). Educational — visible octave relationship.</t>
        </is>
      </c>
      <c r="D63" t="inlineStr">
        <is>
          <t>Structurally weaker (many slits close together). Tongues between bands need reinforcement.</t>
        </is>
      </c>
      <c r="E63" t="inlineStr">
        <is>
          <t>Multiple pass toolpaths at different Z-heights. Ribs between bands must be ≥1".</t>
        </is>
      </c>
    </row>
    <row r="64">
      <c r="A64" t="inlineStr">
        <is>
          <t>4. Staggered</t>
        </is>
      </c>
      <c r="B64" t="inlineStr">
        <is>
          <t>Two offset rows where tongues interleave (like brickwork). Bass tongues longer, treble shorter — naturally accommodates length variation.</t>
        </is>
      </c>
      <c r="C64" t="inlineStr">
        <is>
          <t>Efficient use of surface area. Long bass tongues span between short treble tongues. Balanced look.</t>
        </is>
      </c>
      <c r="D64" t="inlineStr">
        <is>
          <t>Complex CNC layout. Some structural considerations at tongue intersections.</t>
        </is>
      </c>
      <c r="E64" t="inlineStr">
        <is>
          <t>Careful CAD layout needed. Each tongue individually positioned. Best modeled in SolidWorks.</t>
        </is>
      </c>
    </row>
    <row r="66" ht="15" customHeight="1" s="817">
      <c r="A66" s="764" t="inlineStr">
        <is>
          <t>CYLINDER CONSTRUCTION METHODS</t>
        </is>
      </c>
      <c r="B66" s="765" t="n"/>
      <c r="C66" s="765" t="n"/>
      <c r="D66" s="765" t="n"/>
      <c r="E66" s="765" t="n"/>
    </row>
    <row r="67">
      <c r="A67" s="475" t="inlineStr">
        <is>
          <t>Method</t>
        </is>
      </c>
      <c r="B67" s="475" t="inlineStr">
        <is>
          <t>Description</t>
        </is>
      </c>
      <c r="C67" s="475" t="inlineStr">
        <is>
          <t>Pros</t>
        </is>
      </c>
      <c r="D67" s="475" t="inlineStr">
        <is>
          <t>Cons</t>
        </is>
      </c>
      <c r="E67" s="475" t="inlineStr">
        <is>
          <t>Best For</t>
        </is>
      </c>
    </row>
    <row r="68">
      <c r="A68" t="inlineStr">
        <is>
          <t>1. Segmented (Ring-Stack)</t>
        </is>
      </c>
      <c r="B68" t="inlineStr">
        <is>
          <t>Stack glued rings on lathe, same as Ashiko/Conga. Straight cylinder (no taper). Miter angle = 180/segments_per_ring.</t>
        </is>
      </c>
      <c r="C68" t="inlineStr">
        <is>
          <t>Decorative multi-wood patterns. Precise wall thickness from lathe. Proven technique (Tony has done 2 drums).</t>
        </is>
      </c>
      <c r="D68" t="inlineStr">
        <is>
          <t>Many cuts (e.g. 12 rings × 12 seg = 144 pcs). Slower. Requires lathe swing ≥ Ø.</t>
        </is>
      </c>
      <c r="E68" t="inlineStr">
        <is>
          <t>Medium size (12" fits on lathe). Showpiece instruments. Controlled wall uniformity.</t>
        </is>
      </c>
    </row>
    <row r="69">
      <c r="A69" t="inlineStr">
        <is>
          <t>2. Stave (Vertical)</t>
        </is>
      </c>
      <c r="B69" t="inlineStr">
        <is>
          <t>Vertical staves glued edge-to-edge like a barrel. Same as Kora stave bowl option but cylindrical — straight taper = 0.</t>
        </is>
      </c>
      <c r="C69" t="inlineStr">
        <is>
          <t>Fast (12-16 pcs vs 144). Continuous grain along tongues — best for tone. Strong.</t>
        </is>
      </c>
      <c r="D69" t="inlineStr">
        <is>
          <t>Less decorative than segmented. Needs accurate miter angle on table saw.</t>
        </is>
      </c>
      <c r="E69" t="inlineStr">
        <is>
          <t>Best tonal quality (grain runs along tongue length). Quick builds. Both sizes.</t>
        </is>
      </c>
    </row>
    <row r="70">
      <c r="A70" t="inlineStr">
        <is>
          <t>3. Split-Blank (Rip + Route)</t>
        </is>
      </c>
      <c r="B70" t="inlineStr">
        <is>
          <t>Rip solid turning blank in half, CNC-route cylindrical bore in each half, re-glue. Same as Didgeridoo method.</t>
        </is>
      </c>
      <c r="C70" t="inlineStr">
        <is>
          <t>Simplest construction. No segmenting or staving. Uniform grain.</t>
        </is>
      </c>
      <c r="D70" t="inlineStr">
        <is>
          <t>Limited to Ø ≤ turning blank size (~6-8" max). Wasteful — most wood becomes chips.</t>
        </is>
      </c>
      <c r="E70" t="inlineStr">
        <is>
          <t>Handheld size only. Quick prototype. Proof-of-concept builds.</t>
        </is>
      </c>
    </row>
    <row r="72">
      <c r="A72" s="472" t="inlineStr">
        <is>
          <t>Segmented Ring Parameters</t>
        </is>
      </c>
    </row>
    <row r="73">
      <c r="A73" t="inlineStr">
        <is>
          <t>Segments per Ring</t>
        </is>
      </c>
      <c r="B73" s="564" t="n">
        <v>12</v>
      </c>
    </row>
    <row r="74">
      <c r="A74" t="inlineStr">
        <is>
          <t>Number of Rings</t>
        </is>
      </c>
      <c r="B74" s="564" t="n">
        <v>12</v>
      </c>
      <c r="C74" t="inlineStr">
        <is>
          <t>← For Medium. Handheld: ~8 rings.</t>
        </is>
      </c>
    </row>
    <row r="75">
      <c r="A75" t="inlineStr">
        <is>
          <t>Miter Angle (°)</t>
        </is>
      </c>
      <c r="B75" s="469">
        <f>180/B73</f>
        <v/>
      </c>
    </row>
    <row r="76">
      <c r="A76" t="inlineStr">
        <is>
          <t>Total Pieces</t>
        </is>
      </c>
      <c r="B76" s="540">
        <f>B73*B74</f>
        <v/>
      </c>
    </row>
    <row r="77">
      <c r="A77" t="inlineStr">
        <is>
          <t>Ring Thickness (in)</t>
        </is>
      </c>
      <c r="B77" s="482">
        <f>C8/B74</f>
        <v/>
      </c>
      <c r="D77" s="759" t="inlineStr">
        <is>
          <t>= cylinder_length / num_rings</t>
        </is>
      </c>
    </row>
    <row r="78">
      <c r="A78" t="inlineStr">
        <is>
          <t>S.E.L. (in)</t>
        </is>
      </c>
      <c r="B78" s="482">
        <f>PI()*C7/B73</f>
        <v/>
      </c>
      <c r="D78" s="759" t="inlineStr">
        <is>
          <t>= π × outer_Ø / segments_per_ring</t>
        </is>
      </c>
    </row>
    <row r="80">
      <c r="A80" s="472" t="inlineStr">
        <is>
          <t>Stave Parameters</t>
        </is>
      </c>
    </row>
    <row r="81">
      <c r="A81" t="inlineStr">
        <is>
          <t>Number of Staves</t>
        </is>
      </c>
      <c r="B81" s="564" t="n">
        <v>12</v>
      </c>
    </row>
    <row r="82">
      <c r="A82" t="inlineStr">
        <is>
          <t>Stave Miter Angle (°)</t>
        </is>
      </c>
      <c r="B82" s="469">
        <f>180/B81</f>
        <v/>
      </c>
    </row>
    <row r="83">
      <c r="A83" t="inlineStr">
        <is>
          <t>Stave Width (in)</t>
        </is>
      </c>
      <c r="B83" s="482">
        <f>PI()*C7/B81</f>
        <v/>
      </c>
    </row>
    <row r="84">
      <c r="A84" t="inlineStr">
        <is>
          <t>Stave Length (in)</t>
        </is>
      </c>
      <c r="B84" s="481">
        <f>C8</f>
        <v/>
      </c>
    </row>
    <row r="85">
      <c r="A85" t="inlineStr">
        <is>
          <t>Stave Thickness (in)</t>
        </is>
      </c>
      <c r="B85" s="482">
        <f>C9+0.5</f>
        <v/>
      </c>
    </row>
    <row r="87" ht="15" customHeight="1" s="817">
      <c r="A87" s="743" t="inlineStr">
        <is>
          <t>TONGUE DIMENSIONS — Pentatonic Minor (8 tongues, both sizes)</t>
        </is>
      </c>
      <c r="B87" s="744" t="n"/>
      <c r="C87" s="744" t="n"/>
      <c r="D87" s="744" t="n"/>
      <c r="E87" s="744" t="n"/>
      <c r="F87" s="744" t="n"/>
      <c r="G87" s="744" t="n"/>
      <c r="H87" s="744" t="n"/>
      <c r="I87" s="744" t="n"/>
      <c r="J87" s="744" t="n"/>
    </row>
    <row r="88">
      <c r="A88" s="475" t="inlineStr">
        <is>
          <t>#</t>
        </is>
      </c>
      <c r="B88" s="475" t="inlineStr">
        <is>
          <t>Offset</t>
        </is>
      </c>
      <c r="C88" s="475" t="inlineStr">
        <is>
          <t>Note</t>
        </is>
      </c>
      <c r="D88" s="475" t="inlineStr">
        <is>
          <t>MIDI</t>
        </is>
      </c>
      <c r="E88" s="475" t="inlineStr">
        <is>
          <t>Freq (Hz)</t>
        </is>
      </c>
      <c r="F88" s="475" t="inlineStr">
        <is>
          <t>Handheld L (in)</t>
        </is>
      </c>
      <c r="G88" s="475" t="inlineStr">
        <is>
          <t>Medium L (in)</t>
        </is>
      </c>
      <c r="H88" s="475" t="inlineStr">
        <is>
          <t>Fits Cylinder?</t>
        </is>
      </c>
      <c r="I88" s="475" t="inlineStr">
        <is>
          <t>Hand Arc (°)</t>
        </is>
      </c>
      <c r="J88" s="475" t="inlineStr">
        <is>
          <t>Med Arc (°)</t>
        </is>
      </c>
    </row>
    <row r="89">
      <c r="A89" t="n">
        <v>1</v>
      </c>
      <c r="B89" t="inlineStr">
        <is>
          <t>Root</t>
        </is>
      </c>
      <c r="C89" t="inlineStr">
        <is>
          <t>C</t>
        </is>
      </c>
      <c r="D89">
        <f>$B$15</f>
        <v/>
      </c>
      <c r="E89" s="481">
        <f>440*2^((D89-69)/12)</f>
        <v/>
      </c>
      <c r="F89" s="482">
        <f>SQRT($B$13*$B$9/E89)</f>
        <v/>
      </c>
      <c r="G89" s="482">
        <f>SQRT($C$13*$C$9/E89)</f>
        <v/>
      </c>
      <c r="H89">
        <f>IF(AND(F89&lt;=$B$8*0.8,G89&lt;=$C$8*0.8),"✓ Both",IF(G89&lt;=$C$8*0.8,"✓ Med only","⚠️ Too long"))</f>
        <v/>
      </c>
      <c r="I89" s="481">
        <f>F89/($B$7/2)*180/PI()</f>
        <v/>
      </c>
      <c r="J89" s="481">
        <f>G89/($C$7/2)*180/PI()</f>
        <v/>
      </c>
    </row>
    <row r="90">
      <c r="A90" t="n">
        <v>2</v>
      </c>
      <c r="B90" t="n">
        <v>3</v>
      </c>
      <c r="C90" t="inlineStr">
        <is>
          <t>Eb</t>
        </is>
      </c>
      <c r="D90">
        <f>$B$15+3</f>
        <v/>
      </c>
      <c r="E90" s="481">
        <f>440*2^((D90-69)/12)</f>
        <v/>
      </c>
      <c r="F90" s="482">
        <f>SQRT($B$13*$B$9/E90)</f>
        <v/>
      </c>
      <c r="G90" s="482">
        <f>SQRT($C$13*$C$9/E90)</f>
        <v/>
      </c>
      <c r="H90">
        <f>IF(AND(F90&lt;=$B$8*0.8,G90&lt;=$C$8*0.8),"✓ Both",IF(G90&lt;=$C$8*0.8,"✓ Med only","⚠️ Too long"))</f>
        <v/>
      </c>
      <c r="I90" s="481">
        <f>F90/($B$7/2)*180/PI()</f>
        <v/>
      </c>
      <c r="J90" s="481">
        <f>G90/($C$7/2)*180/PI()</f>
        <v/>
      </c>
    </row>
    <row r="91">
      <c r="A91" t="n">
        <v>3</v>
      </c>
      <c r="B91" t="n">
        <v>5</v>
      </c>
      <c r="C91" t="inlineStr">
        <is>
          <t>F</t>
        </is>
      </c>
      <c r="D91">
        <f>$B$15+5</f>
        <v/>
      </c>
      <c r="E91" s="481">
        <f>440*2^((D91-69)/12)</f>
        <v/>
      </c>
      <c r="F91" s="482">
        <f>SQRT($B$13*$B$9/E91)</f>
        <v/>
      </c>
      <c r="G91" s="482">
        <f>SQRT($C$13*$C$9/E91)</f>
        <v/>
      </c>
      <c r="H91">
        <f>IF(AND(F91&lt;=$B$8*0.8,G91&lt;=$C$8*0.8),"✓ Both",IF(G91&lt;=$C$8*0.8,"✓ Med only","⚠️ Too long"))</f>
        <v/>
      </c>
      <c r="I91" s="481">
        <f>F91/($B$7/2)*180/PI()</f>
        <v/>
      </c>
      <c r="J91" s="481">
        <f>G91/($C$7/2)*180/PI()</f>
        <v/>
      </c>
    </row>
    <row r="92">
      <c r="A92" t="n">
        <v>4</v>
      </c>
      <c r="B92" t="n">
        <v>7</v>
      </c>
      <c r="C92" t="inlineStr">
        <is>
          <t>G</t>
        </is>
      </c>
      <c r="D92">
        <f>$B$15+7</f>
        <v/>
      </c>
      <c r="E92" s="481">
        <f>440*2^((D92-69)/12)</f>
        <v/>
      </c>
      <c r="F92" s="482">
        <f>SQRT($B$13*$B$9/E92)</f>
        <v/>
      </c>
      <c r="G92" s="482">
        <f>SQRT($C$13*$C$9/E92)</f>
        <v/>
      </c>
      <c r="H92">
        <f>IF(AND(F92&lt;=$B$8*0.8,G92&lt;=$C$8*0.8),"✓ Both",IF(G92&lt;=$C$8*0.8,"✓ Med only","⚠️ Too long"))</f>
        <v/>
      </c>
      <c r="I92" s="481">
        <f>F92/($B$7/2)*180/PI()</f>
        <v/>
      </c>
      <c r="J92" s="481">
        <f>G92/($C$7/2)*180/PI()</f>
        <v/>
      </c>
    </row>
    <row r="93">
      <c r="A93" t="n">
        <v>5</v>
      </c>
      <c r="B93" t="n">
        <v>8</v>
      </c>
      <c r="C93" t="inlineStr">
        <is>
          <t>Ab</t>
        </is>
      </c>
      <c r="D93">
        <f>$B$15+8</f>
        <v/>
      </c>
      <c r="E93" s="481">
        <f>440*2^((D93-69)/12)</f>
        <v/>
      </c>
      <c r="F93" s="482">
        <f>SQRT($B$13*$B$9/E93)</f>
        <v/>
      </c>
      <c r="G93" s="482">
        <f>SQRT($C$13*$C$9/E93)</f>
        <v/>
      </c>
      <c r="H93">
        <f>IF(AND(F93&lt;=$B$8*0.8,G93&lt;=$C$8*0.8),"✓ Both",IF(G93&lt;=$C$8*0.8,"✓ Med only","⚠️ Too long"))</f>
        <v/>
      </c>
      <c r="I93" s="481">
        <f>F93/($B$7/2)*180/PI()</f>
        <v/>
      </c>
      <c r="J93" s="481">
        <f>G93/($C$7/2)*180/PI()</f>
        <v/>
      </c>
    </row>
    <row r="94">
      <c r="A94" t="n">
        <v>6</v>
      </c>
      <c r="B94" t="n">
        <v>10</v>
      </c>
      <c r="C94" t="inlineStr">
        <is>
          <t>Bb</t>
        </is>
      </c>
      <c r="D94">
        <f>$B$15+10</f>
        <v/>
      </c>
      <c r="E94" s="481">
        <f>440*2^((D94-69)/12)</f>
        <v/>
      </c>
      <c r="F94" s="482">
        <f>SQRT($B$13*$B$9/E94)</f>
        <v/>
      </c>
      <c r="G94" s="482">
        <f>SQRT($C$13*$C$9/E94)</f>
        <v/>
      </c>
      <c r="H94">
        <f>IF(AND(F94&lt;=$B$8*0.8,G94&lt;=$C$8*0.8),"✓ Both",IF(G94&lt;=$C$8*0.8,"✓ Med only","⚠️ Too long"))</f>
        <v/>
      </c>
      <c r="I94" s="481">
        <f>F94/($B$7/2)*180/PI()</f>
        <v/>
      </c>
      <c r="J94" s="481">
        <f>G94/($C$7/2)*180/PI()</f>
        <v/>
      </c>
    </row>
    <row r="95">
      <c r="A95" t="n">
        <v>7</v>
      </c>
      <c r="B95" t="n">
        <v>12</v>
      </c>
      <c r="C95" t="inlineStr">
        <is>
          <t>C</t>
        </is>
      </c>
      <c r="D95">
        <f>$B$15+12</f>
        <v/>
      </c>
      <c r="E95" s="481">
        <f>440*2^((D95-69)/12)</f>
        <v/>
      </c>
      <c r="F95" s="482">
        <f>SQRT($B$13*$B$9/E95)</f>
        <v/>
      </c>
      <c r="G95" s="482">
        <f>SQRT($C$13*$C$9/E95)</f>
        <v/>
      </c>
      <c r="H95">
        <f>IF(AND(F95&lt;=$B$8*0.8,G95&lt;=$C$8*0.8),"✓ Both",IF(G95&lt;=$C$8*0.8,"✓ Med only","⚠️ Too long"))</f>
        <v/>
      </c>
      <c r="I95" s="481">
        <f>F95/($B$7/2)*180/PI()</f>
        <v/>
      </c>
      <c r="J95" s="481">
        <f>G95/($C$7/2)*180/PI()</f>
        <v/>
      </c>
    </row>
    <row r="96">
      <c r="A96" t="n">
        <v>8</v>
      </c>
      <c r="B96" t="n">
        <v>15</v>
      </c>
      <c r="C96" t="inlineStr">
        <is>
          <t>Eb</t>
        </is>
      </c>
      <c r="D96">
        <f>$B$15+15</f>
        <v/>
      </c>
      <c r="E96" s="481">
        <f>440*2^((D96-69)/12)</f>
        <v/>
      </c>
      <c r="F96" s="482">
        <f>SQRT($B$13*$B$9/E96)</f>
        <v/>
      </c>
      <c r="G96" s="482">
        <f>SQRT($C$13*$C$9/E96)</f>
        <v/>
      </c>
      <c r="H96">
        <f>IF(AND(F96&lt;=$B$8*0.8,G96&lt;=$C$8*0.8),"✓ Both",IF(G96&lt;=$C$8*0.8,"✓ Med only","⚠️ Too long"))</f>
        <v/>
      </c>
      <c r="I96" s="481">
        <f>F96/($B$7/2)*180/PI()</f>
        <v/>
      </c>
      <c r="J96" s="481">
        <f>G96/($C$7/2)*180/PI()</f>
        <v/>
      </c>
    </row>
    <row r="98" ht="15" customHeight="1" s="817">
      <c r="A98" s="749" t="inlineStr">
        <is>
          <t>BILL OF MATERIALS (Stave construction, Medium, sealed ends)</t>
        </is>
      </c>
      <c r="B98" s="750" t="n"/>
      <c r="C98" s="750" t="n"/>
      <c r="D98" s="750" t="n"/>
      <c r="E98" s="750" t="n"/>
    </row>
    <row r="99">
      <c r="A99" s="475" t="inlineStr">
        <is>
          <t>#</t>
        </is>
      </c>
      <c r="B99" s="475" t="inlineStr">
        <is>
          <t>Category</t>
        </is>
      </c>
      <c r="C99" s="475" t="inlineStr">
        <is>
          <t>Item</t>
        </is>
      </c>
      <c r="D99" s="475" t="inlineStr">
        <is>
          <t>Qty</t>
        </is>
      </c>
      <c r="E99" s="475" t="inlineStr">
        <is>
          <t>Size / Notes</t>
        </is>
      </c>
    </row>
    <row r="100">
      <c r="A100" t="n">
        <v>1</v>
      </c>
      <c r="B100" t="inlineStr">
        <is>
          <t>Body</t>
        </is>
      </c>
      <c r="C100" t="inlineStr">
        <is>
          <t>Staves (or segment blanks)</t>
        </is>
      </c>
      <c r="D100">
        <f>B81</f>
        <v/>
      </c>
      <c r="E100" t="inlineStr">
        <is>
          <t>16" × 3.1" × 1.0" each (Padauk). ~8 bd ft total.</t>
        </is>
      </c>
    </row>
    <row r="101">
      <c r="A101" t="n">
        <v>2</v>
      </c>
      <c r="B101" t="inlineStr">
        <is>
          <t>Body</t>
        </is>
      </c>
      <c r="C101" t="inlineStr">
        <is>
          <t>End cap blanks (or drumheads)</t>
        </is>
      </c>
      <c r="D101" t="n">
        <v>2</v>
      </c>
      <c r="E101" t="inlineStr">
        <is>
          <t>13" × 13" × 3/4" (if solid wood). Disc cut from plate or face-glued.</t>
        </is>
      </c>
    </row>
    <row r="102">
      <c r="A102" t="n">
        <v>3</v>
      </c>
      <c r="B102" t="inlineStr">
        <is>
          <t>Body</t>
        </is>
      </c>
      <c r="C102" t="inlineStr">
        <is>
          <t>Acoustic port tube (if ported)</t>
        </is>
      </c>
      <c r="D102" t="n">
        <v>1</v>
      </c>
      <c r="E102" t="inlineStr">
        <is>
          <t>PVC or wood tube, 3" Ø × 1" length (= wall thickness)</t>
        </is>
      </c>
    </row>
    <row r="103">
      <c r="A103" t="n">
        <v>4</v>
      </c>
      <c r="B103" t="inlineStr">
        <is>
          <t>Head (opt)</t>
        </is>
      </c>
      <c r="C103" t="inlineStr">
        <is>
          <t>Goatskin rawhide (if drum-headed)</t>
        </is>
      </c>
      <c r="D103" s="695" t="n">
        <v>46024</v>
      </c>
      <c r="E103" t="inlineStr">
        <is>
          <t>16"+ diameter. Rope-tuned — need rope + tension rings.</t>
        </is>
      </c>
    </row>
    <row r="104">
      <c r="A104" t="n">
        <v>5</v>
      </c>
      <c r="B104" t="inlineStr">
        <is>
          <t>Head (opt)</t>
        </is>
      </c>
      <c r="C104" t="inlineStr">
        <is>
          <t>Synthetic head + hardware (if hardware-tuned)</t>
        </is>
      </c>
      <c r="D104" s="695" t="n">
        <v>46024</v>
      </c>
      <c r="E104" t="inlineStr">
        <is>
          <t>12" Remo or Evans. Need lugs, rods, hoops, bearing edge.</t>
        </is>
      </c>
    </row>
    <row r="105">
      <c r="A105" t="n">
        <v>6</v>
      </c>
      <c r="B105" t="inlineStr">
        <is>
          <t>CNC</t>
        </is>
      </c>
      <c r="C105" t="inlineStr">
        <is>
          <t>1/8" upcut spiral bit</t>
        </is>
      </c>
      <c r="D105" t="n">
        <v>1</v>
      </c>
      <c r="E105" t="inlineStr">
        <is>
          <t>For tongue slit cutting. 0.125" kerf.</t>
        </is>
      </c>
    </row>
    <row r="106">
      <c r="A106" t="n">
        <v>7</v>
      </c>
      <c r="B106" t="inlineStr">
        <is>
          <t>Hardware</t>
        </is>
      </c>
      <c r="C106" t="inlineStr">
        <is>
          <t>Rubber feet / stand</t>
        </is>
      </c>
      <c r="D106" t="n">
        <v>4</v>
      </c>
      <c r="E106" t="inlineStr">
        <is>
          <t>Floor/table bumpers or custom cradle stand</t>
        </is>
      </c>
    </row>
    <row r="107">
      <c r="A107" t="n">
        <v>8</v>
      </c>
      <c r="B107" t="inlineStr">
        <is>
          <t>Consumables</t>
        </is>
      </c>
      <c r="C107" t="inlineStr">
        <is>
          <t>Glue + sandpaper + finish</t>
        </is>
      </c>
      <c r="D107" t="n">
        <v>1</v>
      </c>
      <c r="E107" t="inlineStr">
        <is>
          <t>Titebond III, 80-400 grit, tung oil or lacquer</t>
        </is>
      </c>
    </row>
    <row r="109" ht="15" customHeight="1" s="817">
      <c r="A109" s="749" t="inlineStr">
        <is>
          <t>BUILD METHOD</t>
        </is>
      </c>
      <c r="B109" s="750" t="n"/>
      <c r="C109" s="750" t="n"/>
      <c r="D109" s="750" t="n"/>
      <c r="E109" s="750" t="n"/>
    </row>
    <row r="110">
      <c r="A110" s="475" t="inlineStr">
        <is>
          <t>Step</t>
        </is>
      </c>
      <c r="B110" s="475" t="inlineStr">
        <is>
          <t>Phase</t>
        </is>
      </c>
      <c r="C110" s="475" t="inlineStr">
        <is>
          <t>Operation</t>
        </is>
      </c>
      <c r="D110" s="475" t="inlineStr">
        <is>
          <t>Tool</t>
        </is>
      </c>
      <c r="E110" s="475" t="inlineStr">
        <is>
          <t>Notes</t>
        </is>
      </c>
    </row>
    <row r="111">
      <c r="A111" t="n">
        <v>1</v>
      </c>
      <c r="B111" t="inlineStr">
        <is>
          <t>Stock Prep</t>
        </is>
      </c>
      <c r="C111" t="inlineStr">
        <is>
          <t>Rip staves on table saw at miter angle (15° for 12 staves)</t>
        </is>
      </c>
      <c r="D111" t="inlineStr">
        <is>
          <t>Table saw, miter sled</t>
        </is>
      </c>
      <c r="E111" t="inlineStr">
        <is>
          <t>Same technique as Kora stave bowl. Straight taper = 0 (no bowl curve).</t>
        </is>
      </c>
    </row>
    <row r="112">
      <c r="A112" t="n">
        <v>2</v>
      </c>
      <c r="B112" t="inlineStr">
        <is>
          <t>Stock Prep</t>
        </is>
      </c>
      <c r="C112" t="inlineStr">
        <is>
          <t>Joint/plane staves to uniform thickness</t>
        </is>
      </c>
      <c r="D112" t="inlineStr">
        <is>
          <t>Jointer, planer</t>
        </is>
      </c>
      <c r="E112" t="inlineStr">
        <is>
          <t>Critical: tongue pitch depends on wall thickness. ±0.005" tolerance.</t>
        </is>
      </c>
    </row>
    <row r="113">
      <c r="A113" t="n">
        <v>3</v>
      </c>
      <c r="B113" t="inlineStr">
        <is>
          <t>Glue-Up</t>
        </is>
      </c>
      <c r="C113" t="inlineStr">
        <is>
          <t>Glue staves into cylinder using band clamps or hose clamps</t>
        </is>
      </c>
      <c r="D113" t="inlineStr">
        <is>
          <t>Clamps, glue</t>
        </is>
      </c>
      <c r="E113" t="inlineStr">
        <is>
          <t>Two halves approach: glue 6+6, then join halves. Check round with calipers.</t>
        </is>
      </c>
    </row>
    <row r="114">
      <c r="A114" t="n">
        <v>4</v>
      </c>
      <c r="B114" t="inlineStr">
        <is>
          <t>Turning</t>
        </is>
      </c>
      <c r="C114" t="inlineStr">
        <is>
          <t>Mount on lathe, true exterior to final Ø, bore interior to wall thickness</t>
        </is>
      </c>
      <c r="D114" t="inlineStr">
        <is>
          <t>Lathe, bowl gouge</t>
        </is>
      </c>
      <c r="E114" t="inlineStr">
        <is>
          <t>Final wall = tongue thickness. Measure frequently with calipers.</t>
        </is>
      </c>
    </row>
    <row r="115">
      <c r="A115" t="n">
        <v>5</v>
      </c>
      <c r="B115" t="inlineStr">
        <is>
          <t>End Caps</t>
        </is>
      </c>
      <c r="C115" t="inlineStr">
        <is>
          <t>Turn/cut end discs from plate; glue into cylinder bore (or prep drum hardware)</t>
        </is>
      </c>
      <c r="D115" t="inlineStr">
        <is>
          <t>Lathe or band saw</t>
        </is>
      </c>
      <c r="E115" t="inlineStr">
        <is>
          <t>Rabbet joint: disc sits in a 1/4" recess inside cylinder. Sealed = glue. Port = drill before glue.</t>
        </is>
      </c>
    </row>
    <row r="116">
      <c r="A116" t="n">
        <v>6</v>
      </c>
      <c r="B116" t="inlineStr">
        <is>
          <t>Layout</t>
        </is>
      </c>
      <c r="C116" t="inlineStr">
        <is>
          <t>Mark tongue positions on cylinder surface using SolidWorks unwrap template</t>
        </is>
      </c>
      <c r="D116" t="inlineStr">
        <is>
          <t>Laser template</t>
        </is>
      </c>
      <c r="E116" t="inlineStr">
        <is>
          <t>Print 1:1 scale wrap template. Tape around cylinder. Mark slit lines through template.</t>
        </is>
      </c>
    </row>
    <row r="117">
      <c r="A117" t="n">
        <v>7</v>
      </c>
      <c r="B117" t="inlineStr">
        <is>
          <t>CNC Slits</t>
        </is>
      </c>
      <c r="C117" t="inlineStr">
        <is>
          <t>Cut U-shaped tongue slits with 1/8" upcut spiral</t>
        </is>
      </c>
      <c r="D117" t="inlineStr">
        <is>
          <t>ShopBot CNC</t>
        </is>
      </c>
      <c r="E117" t="inlineStr">
        <is>
          <t>V-block jig on CNC bed. Cut one tongue, rotate, repeat. Or rotary 4th axis if available.</t>
        </is>
      </c>
    </row>
    <row r="118">
      <c r="A118" t="n">
        <v>8</v>
      </c>
      <c r="B118" t="inlineStr">
        <is>
          <t>CNC Slits</t>
        </is>
      </c>
      <c r="C118" t="inlineStr">
        <is>
          <t>Alternative: hand-cut slits with oscillating multi-tool or scroll saw</t>
        </is>
      </c>
      <c r="D118" t="inlineStr">
        <is>
          <t>Multi-tool</t>
        </is>
      </c>
      <c r="E118" t="inlineStr">
        <is>
          <t>Mark and cut carefully. Slower but no jig needed. Good for first prototype.</t>
        </is>
      </c>
    </row>
    <row r="119">
      <c r="A119" t="n">
        <v>9</v>
      </c>
      <c r="B119" t="inlineStr">
        <is>
          <t>Tuning</t>
        </is>
      </c>
      <c r="C119" t="inlineStr">
        <is>
          <t>Tune each tongue: shorten tip to raise pitch, thin base to lower pitch</t>
        </is>
      </c>
      <c r="D119" t="inlineStr">
        <is>
          <t>Dremel, file</t>
        </is>
      </c>
      <c r="E119" t="inlineStr">
        <is>
          <t>Start with tongues ~5% long (pitch flat). Remove material from tip to tune sharp.</t>
        </is>
      </c>
    </row>
    <row r="120">
      <c r="A120" t="n">
        <v>10</v>
      </c>
      <c r="B120" t="inlineStr">
        <is>
          <t>Tuning</t>
        </is>
      </c>
      <c r="C120" t="inlineStr">
        <is>
          <t>Verify all 8 tongues with chromatic tuner; iterate until within ±5 cents</t>
        </is>
      </c>
      <c r="D120" t="inlineStr">
        <is>
          <t>Tuner</t>
        </is>
      </c>
      <c r="E120" t="inlineStr">
        <is>
          <t>Same DoE tuning protocol as flat tongue drums. Record actual vs predicted.</t>
        </is>
      </c>
    </row>
    <row r="121">
      <c r="A121" t="n">
        <v>11</v>
      </c>
      <c r="B121" t="inlineStr">
        <is>
          <t>Head (opt)</t>
        </is>
      </c>
      <c r="C121" t="inlineStr">
        <is>
          <t>Install drumhead: goatskin (soak+stretch+rope) or synthetic (hardware mount)</t>
        </is>
      </c>
      <c r="D121" t="inlineStr">
        <is>
          <t>Rope or hardware</t>
        </is>
      </c>
      <c r="E121" t="inlineStr">
        <is>
          <t>Bearing edge must be smooth and level. Goatskin: ≥ 24h soak. Synthetic: standard drum hardware.</t>
        </is>
      </c>
    </row>
    <row r="122">
      <c r="A122" t="n">
        <v>12</v>
      </c>
      <c r="B122" t="inlineStr">
        <is>
          <t>Finishing</t>
        </is>
      </c>
      <c r="C122" t="inlineStr">
        <is>
          <t>Sand 80→400, apply 2-3 coats tung oil or lacquer</t>
        </is>
      </c>
      <c r="D122" t="inlineStr">
        <is>
          <t>Sandpaper, oil</t>
        </is>
      </c>
      <c r="E122" t="inlineStr">
        <is>
          <t>Avoid finish on tongue surfaces if possible — it can dampen vibration slightly.</t>
        </is>
      </c>
    </row>
    <row r="123">
      <c r="A123" t="n">
        <v>13</v>
      </c>
      <c r="B123" t="inlineStr">
        <is>
          <t>Finishing</t>
        </is>
      </c>
      <c r="C123" t="inlineStr">
        <is>
          <t>Add rubber feet or build cradle stand for floor placement</t>
        </is>
      </c>
      <c r="D123" t="inlineStr">
        <is>
          <t>Hand</t>
        </is>
      </c>
      <c r="E123" t="inlineStr">
        <is>
          <t>Cylinder needs support to not roll. Cradle stand or 3-point feet.</t>
        </is>
      </c>
    </row>
    <row r="125" ht="15" customHeight="1" s="817">
      <c r="A125" s="751" t="inlineStr">
        <is>
          <t>DESIGN NOTES</t>
        </is>
      </c>
      <c r="B125" s="752" t="n"/>
      <c r="C125" s="752" t="n"/>
      <c r="D125" s="752" t="n"/>
      <c r="E125" s="752" t="n"/>
    </row>
    <row r="126">
      <c r="A126" s="472" t="inlineStr">
        <is>
          <t>1. ORIGINAL INSTRUMENT DESIGN by Tony Koop (2026). No known prior art for a cylindrical tongue drum with circumferential slit tongues.</t>
        </is>
      </c>
    </row>
    <row r="127">
      <c r="A127" t="inlineStr">
        <is>
          <t>2. Curvature effect: At &lt;20% width/Ø ratio, flat cantilever formula is a good first approximation. Build a prototype and measure actual vs predicted.</t>
        </is>
      </c>
    </row>
    <row r="128">
      <c r="A128" t="inlineStr">
        <is>
          <t>3. Helmholtz coupling (Config A, sealed): the body resonance (135 Hz for Medium) is below the lowest tongue (523 Hz). This means the body adds warmth but won't couple tightly. For coupling, use a lower root (e.g., C3 MIDI 48) or a smaller sealed volume.</t>
        </is>
      </c>
    </row>
    <row r="129">
      <c r="A129" t="inlineStr">
        <is>
          <t>4. Config D (drumhead) is the true Duntong — closest to the dundun inspiration. Goatskin rope-tuned gives the most organic, West African character.</t>
        </is>
      </c>
    </row>
    <row r="130">
      <c r="A130" t="inlineStr">
        <is>
          <t>5. Tongue layout recommendation for V1 prototype: Single Ring around equator. Simplest to build, easiest to play, proves the concept.</t>
        </is>
      </c>
    </row>
    <row r="131">
      <c r="A131" t="inlineStr">
        <is>
          <t>6. The cylinder shape gives 360° of playing surface — two players can sit opposite each other and play simultaneously. Social instrument.</t>
        </is>
      </c>
    </row>
    <row r="132">
      <c r="A132" t="inlineStr">
        <is>
          <t>7. Stave construction recommended for V1: continuous grain along tongue = best sustain and tone. Segmented is a V2 showpiece option.</t>
        </is>
      </c>
    </row>
    <row r="133">
      <c r="A133" t="inlineStr">
        <is>
          <t>8. CNC jig: V-block cradle clamped to ShopBot bed. Router approaches from above for each slit. Rotate cylinder between tongues.</t>
        </is>
      </c>
    </row>
    <row r="134">
      <c r="A134" t="inlineStr">
        <is>
          <t>9. Potential enhancement: different wall thicknesses per tongue zone (thicker = lower K, thinner = higher). Would need CNC interior profiling.</t>
        </is>
      </c>
    </row>
    <row r="135">
      <c r="A135" t="inlineStr">
        <is>
          <t>10. Material K values from Tongue Drum sheet apply directly. Padauk (K=24,438) recommended for first build — proven tonal quality.</t>
        </is>
      </c>
    </row>
    <row r="136">
      <c r="A136" t="inlineStr">
        <is>
          <t>11. DoE plan: Build 3 prototypes — (A) sealed stave, (B) one port stave, (C) one goatskin stave. Compare volume, sustain, and timbre. Record data.</t>
        </is>
      </c>
    </row>
    <row r="137">
      <c r="A137" t="inlineStr">
        <is>
          <t>12. Future: CNC-routed decorative patterns in the non-tongue areas of the cylinder surface (like Ashiko diamond pattern but cylindrical).</t>
        </is>
      </c>
    </row>
    <row r="140" ht="18" customHeight="1" s="817">
      <c r="A140" s="802" t="inlineStr">
        <is>
          <t>WOLFRAM CLOUD NOTEBOOK SPEC — DUNTONG (ORIGINAL DESIGN)</t>
        </is>
      </c>
    </row>
    <row r="141">
      <c r="A141" s="734" t="inlineStr">
        <is>
          <t>Cylindrical tongue drum — cantilever beam tongues cut into a tube body, original Tony+Claude design.</t>
        </is>
      </c>
    </row>
    <row r="143">
      <c r="A143" s="609" t="inlineStr">
        <is>
          <t>§1 — Origin &amp; Etymology</t>
        </is>
      </c>
    </row>
    <row r="144">
      <c r="A144" t="inlineStr">
        <is>
          <t>Origin: ORIGINAL DESIGN — Tony + Claude. Inspired by African slit drums + modern tongue drums; novel cylindrical (vs box) format.</t>
        </is>
      </c>
    </row>
    <row r="145">
      <c r="A145" t="inlineStr">
        <is>
          <t>Name 'Duntong': portmanteau, possibly invented in this workbook. Confirm with user before formalizing.</t>
        </is>
      </c>
    </row>
    <row r="146">
      <c r="A146" t="inlineStr">
        <is>
          <t>Wolfram items: TimelinePlot of design iterations from sheet revision history; reference cousins (krin, tongue drum, log drums).</t>
        </is>
      </c>
    </row>
    <row r="148">
      <c r="A148" s="609" t="inlineStr">
        <is>
          <t>§2 — Physics</t>
        </is>
      </c>
    </row>
    <row r="149">
      <c r="A149" t="inlineStr">
        <is>
          <t>Tongues: cantilever beam f = K·t/L² (same as planar tongue drum).</t>
        </is>
      </c>
    </row>
    <row r="150">
      <c r="A150" t="inlineStr">
        <is>
          <t>Body: cylindrical tube → acts as 1D Helmholtz-ish resonator with end conditions depending on construction (4 end configs in this sheet).</t>
        </is>
      </c>
    </row>
    <row r="151">
      <c r="A151" t="inlineStr">
        <is>
          <t>Coupling: cylindrical body modes (longitudinal: f_n = n·c/2L) couple with tongue spectrum.</t>
        </is>
      </c>
    </row>
    <row r="152">
      <c r="A152" t="inlineStr">
        <is>
          <t>Wolfram functions: NDEigensystem for cantilever; NDSolve for tube modes; coupled system.</t>
        </is>
      </c>
    </row>
    <row r="154">
      <c r="A154" s="609" t="inlineStr">
        <is>
          <t>§3 — Geometry &amp; Construction</t>
        </is>
      </c>
    </row>
    <row r="155">
      <c r="A155" t="inlineStr">
        <is>
          <t>2 sizes (this sheet); 4 end configs (open-open, open-closed, closed-closed, vented); 3 construction methods (segmented stave, plywood roll-up, solid log).</t>
        </is>
      </c>
    </row>
    <row r="156">
      <c r="A156" t="inlineStr">
        <is>
          <t>8-note pentatonic layout. Tongues cut in cylindrical surface — slightly different boundary conditions than planar.</t>
        </is>
      </c>
    </row>
    <row r="157">
      <c r="A157" t="inlineStr">
        <is>
          <t>Wolfram items: ParametricPlot3D cylinder + tongue cuts; Manipulate end_config + tongue arrangement → live frequencies.</t>
        </is>
      </c>
    </row>
    <row r="159">
      <c r="A159" s="609" t="inlineStr">
        <is>
          <t>§4 — Animations</t>
        </is>
      </c>
    </row>
    <row r="160">
      <c r="A160" t="inlineStr">
        <is>
          <t>End-config comparison: Animate switching among 4 end configurations → see standing-wave + tongue coupling change.</t>
        </is>
      </c>
    </row>
    <row r="161">
      <c r="A161" t="inlineStr">
        <is>
          <t>Tongue mode 1+2+3 on a curved surface.</t>
        </is>
      </c>
    </row>
    <row r="163">
      <c r="A163" s="609" t="inlineStr">
        <is>
          <t>§5 — Executable Cells</t>
        </is>
      </c>
    </row>
    <row r="164">
      <c r="A164" t="inlineStr">
        <is>
          <t>fTongue[t_,L_,K_]:= K t / L^2</t>
        </is>
      </c>
    </row>
    <row r="165">
      <c r="A165" t="inlineStr">
        <is>
          <t>fTube[L_, n_, endConfig_]:= If[endConfig=="open-open", n c/(2 L), (2 n-1) c/(4 L)]</t>
        </is>
      </c>
    </row>
    <row r="166">
      <c r="A166" t="inlineStr">
        <is>
          <t>duntongPent := {C4, D4, E4, G4, A4, C5, D5, E5}</t>
        </is>
      </c>
    </row>
    <row r="168">
      <c r="A168" s="609" t="inlineStr">
        <is>
          <t>§6 — Wolfram Functions</t>
        </is>
      </c>
    </row>
    <row r="169">
      <c r="A169" t="inlineStr">
        <is>
          <t>NDEigensystem, Manipulate, Animate, Periodogram, CloudDeploy, FormFunction, Export["DXF"|"CDF"].</t>
        </is>
      </c>
    </row>
    <row r="172" ht="18" customHeight="1" s="817">
      <c r="A172" s="807" t="inlineStr">
        <is>
          <t>WOLFRAM EXPLORATIONS — DUNTONG</t>
        </is>
      </c>
    </row>
    <row r="173">
      <c r="A173" s="734" t="inlineStr">
        <is>
          <t>Original design — prime testbed for the sensitivity/tolerance and DOE notebooks.</t>
        </is>
      </c>
    </row>
    <row r="175">
      <c r="A175" s="808" t="inlineStr">
        <is>
          <t>Engineering exploration</t>
        </is>
      </c>
    </row>
    <row r="176">
      <c r="A176" s="811" t="inlineStr">
        <is>
          <t>→ Tolerance Stack-Up + Sensitivity (roadmap)</t>
        </is>
      </c>
    </row>
    <row r="177">
      <c r="A177" t="inlineStr">
        <is>
          <t>Monte Carlo: tongue length tolerance ±σ × thickness tolerance → cents error histogram. Inform CNC tolerance spec.</t>
        </is>
      </c>
    </row>
    <row r="178">
      <c r="A178" t="inlineStr">
        <is>
          <t>Sensitivity: ∂f/∂L, ∂f/∂t for each of 8 tongues; rank which are most sensitive to manufacturing variance.</t>
        </is>
      </c>
    </row>
    <row r="180">
      <c r="A180" s="808" t="inlineStr">
        <is>
          <t>Coupled physics</t>
        </is>
      </c>
    </row>
    <row r="181">
      <c r="A181" s="811" t="inlineStr">
        <is>
          <t>→ Helmholtz + Tongue Coupling (roadmap)</t>
        </is>
      </c>
    </row>
    <row r="182">
      <c r="A182" t="inlineStr">
        <is>
          <t>Compare 4 end configurations (open-open, open-closed, closed-closed, vented) — which gives strongest tongue-cavity coupling? Eigenvalue split per config.</t>
        </is>
      </c>
    </row>
    <row r="184">
      <c r="A184" s="808" t="inlineStr">
        <is>
          <t>Design optimization</t>
        </is>
      </c>
    </row>
    <row r="185">
      <c r="A185" s="811" t="inlineStr">
        <is>
          <t>→ NMinimize Optimal Shell Size (roadmap)</t>
        </is>
      </c>
    </row>
    <row r="186">
      <c r="A186" t="inlineStr">
        <is>
          <t>Solve: given target pentatonic scale + species K, find min cylinder length where ALL 8 tongues fit with proper spacing. Inform stock selection.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2026-05-02T18:58:22Z</dcterms:modified>
  <cp:lastModifiedBy>Tony Koop</cp:lastModifiedBy>
</cp:coreProperties>
</file>